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Version History" sheetId="1" state="visible" r:id="rId3"/>
    <sheet name="Test Scenarios" sheetId="2" state="visible" r:id="rId4"/>
    <sheet name="Orange_Hrm_LoginPage" sheetId="3" state="visible" r:id="rId5"/>
    <sheet name="Orange_Hrm_Employee_Crud" sheetId="4" state="visible" r:id="rId6"/>
    <sheet name="BugShee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<sst xmlns="http://schemas.openxmlformats.org/spreadsheetml/2006/main" count="228" uniqueCount="128">
  <si>
    <t xml:space="preserve">Product Name (Client Name)</t>
  </si>
  <si>
    <t xml:space="preserve">OrangeHrmApplication</t>
  </si>
  <si>
    <t xml:space="preserve">Prepared By</t>
  </si>
  <si>
    <t xml:space="preserve">SRINIVAS G</t>
  </si>
  <si>
    <t xml:space="preserve">Version No</t>
  </si>
  <si>
    <t xml:space="preserve">Version 1.0</t>
  </si>
  <si>
    <t xml:space="preserve">Version 2.0</t>
  </si>
  <si>
    <t xml:space="preserve">Version 3.0</t>
  </si>
  <si>
    <t xml:space="preserve">Project Name</t>
  </si>
  <si>
    <t xml:space="preserve">Client</t>
  </si>
  <si>
    <t xml:space="preserve">Interview Document</t>
  </si>
  <si>
    <t xml:space="preserve">Reference Document</t>
  </si>
  <si>
    <t xml:space="preserve">FRS</t>
  </si>
  <si>
    <t xml:space="preserve">Created By</t>
  </si>
  <si>
    <t xml:space="preserve">Creation Date</t>
  </si>
  <si>
    <t xml:space="preserve">Approval Date</t>
  </si>
  <si>
    <t xml:space="preserve">FEATURE</t>
  </si>
  <si>
    <t xml:space="preserve">Test Scenario ID</t>
  </si>
  <si>
    <t xml:space="preserve"> Reference</t>
  </si>
  <si>
    <t xml:space="preserve">Test Scenario Description</t>
  </si>
  <si>
    <t xml:space="preserve">Priority</t>
  </si>
  <si>
    <t xml:space="preserve">DATE</t>
  </si>
  <si>
    <t xml:space="preserve">  OrangeHrm&gt;&gt;LoginPage</t>
  </si>
  <si>
    <t xml:space="preserve">FRS (Functional Requirement Specification)</t>
  </si>
  <si>
    <t xml:space="preserve">Validate The Login Functionality</t>
  </si>
  <si>
    <t xml:space="preserve">P1</t>
  </si>
  <si>
    <t xml:space="preserve">OrangeHrm&gt;&gt;Employee Crud Operation</t>
  </si>
  <si>
    <t xml:space="preserve">Validate The Employee CRUD Operation</t>
  </si>
  <si>
    <t xml:space="preserve">Test Case ID</t>
  </si>
  <si>
    <t xml:space="preserve">Test Case Title</t>
  </si>
  <si>
    <t xml:space="preserve">Pre-requisites</t>
  </si>
  <si>
    <t xml:space="preserve">Test Steps</t>
  </si>
  <si>
    <t xml:space="preserve">Test Data</t>
  </si>
  <si>
    <t xml:space="preserve">Expected Result (ER)</t>
  </si>
  <si>
    <t xml:space="preserve">Actual Result</t>
  </si>
  <si>
    <t xml:space="preserve">Seviority</t>
  </si>
  <si>
    <t xml:space="preserve">Result</t>
  </si>
  <si>
    <t xml:space="preserve">Date</t>
  </si>
  <si>
    <t xml:space="preserve">Orange Hrm Login Page</t>
  </si>
  <si>
    <t xml:space="preserve">(TS 001) LOGIN PAGE</t>
  </si>
  <si>
    <t xml:space="preserve">User Loads The orange Hrm Portal URl And 
Land On The Login Page</t>
  </si>
  <si>
    <t xml:space="preserve">1. Navigate to the login page.
2. Enter ""Admin"" in the Username field.
3. Enter ""admin123"" in the Password field.
4. Click the Login button.</t>
  </si>
  <si>
    <t xml:space="preserve">User Name=Admin
Password=admin123</t>
  </si>
  <si>
    <t xml:space="preserve">User is successfully authenticated and redirected to the application's dashboard/home page.</t>
  </si>
  <si>
    <t xml:space="preserve">Same As Expected Result</t>
  </si>
  <si>
    <t xml:space="preserve">CRITICAL</t>
  </si>
  <si>
    <t xml:space="preserve">PASS</t>
  </si>
  <si>
    <t xml:space="preserve">1. Navigate to the login page.
2. Enter an invalid username (e.g., "InvalidUser").
3. Enter a valid password ("admin123").
4. Click the Login button.</t>
  </si>
  <si>
    <t xml:space="preserve">User Name=InvalidUser
Password=admin123</t>
  </si>
  <si>
    <t xml:space="preserve">Login fails. An error message "Invalid username or password" is displayed. The user remains on the login page.</t>
  </si>
  <si>
    <t xml:space="preserve">1. Navigate to the login page.
2. Enter a valid username ("Admin").
3. Enter an invalid password (e.g., "wrongpass").
4. Click the Login button.</t>
  </si>
  <si>
    <t xml:space="preserve">User Name=Admin
Password=xyz@1122</t>
  </si>
  <si>
    <t xml:space="preserve">1. Navigate to the login page.
2. Leave the Username field blank.
3. Enter a password ("admin123").
4. Click the Login button.</t>
  </si>
  <si>
    <t xml:space="preserve">User Name=""
Password=admin123</t>
  </si>
  <si>
    <t xml:space="preserve">Login fails. A validation message prompts the user to enter a username. The user remains on the login page.</t>
  </si>
  <si>
    <t xml:space="preserve">1. Navigate to the login page.
2. Enter a username ("Admin").
3. Leave the Password field blank.
4. Click the Login button.</t>
  </si>
  <si>
    <t xml:space="preserve">User Name=Admin
Password=""</t>
  </si>
  <si>
    <t xml:space="preserve">Login fails. A validation message prompts the user to enter a password. The user remains on the login page.</t>
  </si>
  <si>
    <t xml:space="preserve">1. Navigate to the login page.
2. Leave both the Username and Password fields blank.
3. Click the Login button.</t>
  </si>
  <si>
    <t xml:space="preserve">User Name=""
Password=""</t>
  </si>
  <si>
    <t xml:space="preserve">Login fails. Validation messages prompt the user to enter both username and password. The user remains on the login page.</t>
  </si>
  <si>
    <t xml:space="preserve">1. Navigate to the login page.
2. Verify that the "Forgot your password?" link is present on the page.</t>
  </si>
  <si>
    <t xml:space="preserve">ForGot Password Link</t>
  </si>
  <si>
    <t xml:space="preserve">The "Forgot your password?" link is visible and clickable.</t>
  </si>
  <si>
    <t xml:space="preserve">Brute Force Attack Protection</t>
  </si>
  <si>
    <t xml:space="preserve">1. Navigate to the login page.
2. Attempt to log in with incorrect credentials repeatedly (e.g., 5-10 times).
3. On the final attempt, try the correct credentials.</t>
  </si>
  <si>
    <t xml:space="preserve">User Name=Data Set
Password=Data Set</t>
  </si>
  <si>
    <t xml:space="preserve">After a defined number of failed attempts (e.g., 3-5), the system should:
1. Lock the account or impose a time-delay.
2. Display a message: "Too many failed attempts. Account temporarily locked."
3. Critical: Prevent login even with correct credentials until the lockout period ends or the account is reset.</t>
  </si>
  <si>
    <t xml:space="preserve">Employees Crud Operation</t>
  </si>
  <si>
    <t xml:space="preserve">(TS 002) Employee CRUD OPERATION</t>
  </si>
  <si>
    <t xml:space="preserve">View Employee Details</t>
  </si>
  <si>
    <t xml:space="preserve">Employee added to the system</t>
  </si>
  <si>
    <t xml:space="preserve">1. Login to the Orange HRM system.
2. Navigate to the "PIM" tab.
3. Click on a specific employee to view details.</t>
  </si>
  <si>
    <t xml:space="preserve">Employee ID, First Name, Last Name</t>
  </si>
  <si>
    <t xml:space="preserve">Employee details (First Name, Last Name, Job Title, Employment Status, etc.)
 should be displayed correctly.</t>
  </si>
  <si>
    <t xml:space="preserve">Update Employee Details</t>
  </si>
  <si>
    <t xml:space="preserve">Employee exists in the system</t>
  </si>
  <si>
    <t xml:space="preserve">1. Login to the Orange HRM system.
2. Navigate to the "PIM" tab.
3. Select the employee to update.
4. Modify employee details (e.g., Job Title, Sub Unit).
5. Save changes.</t>
  </si>
  <si>
    <t xml:space="preserve">Employee ID, Updated Information</t>
  </si>
  <si>
    <t xml:space="preserve">Employee details should be updated and saved correctly.</t>
  </si>
  <si>
    <t xml:space="preserve">Delete Employee</t>
  </si>
  <si>
    <t xml:space="preserve">1. Login to the Orange HRM system.
2. Navigate to the "PIM" tab.
3. Select the employee to delete.
4. Click the delete button.
5. Confirm the deletion.</t>
  </si>
  <si>
    <t xml:space="preserve">Employee ID</t>
  </si>
  <si>
    <t xml:space="preserve">Employee should be deleted from the system.</t>
  </si>
  <si>
    <t xml:space="preserve">Verify Employee Addition</t>
  </si>
  <si>
    <t xml:space="preserve">New employee added through the admin panel</t>
  </si>
  <si>
    <t xml:space="preserve">1. Login as Admin.
2. Add a new employee with all required details.
3. Save the new employee.
4. Verify the new employee in the PIM section.</t>
  </si>
  <si>
    <t xml:space="preserve">Employee details (First Name, Last Name, Job Title)</t>
  </si>
  <si>
    <t xml:space="preserve">New employee should appear in the "PIM" tab with the correct details.</t>
  </si>
  <si>
    <t xml:space="preserve">Cancel Employee Update</t>
  </si>
  <si>
    <t xml:space="preserve">1. Login to the Orange HRM system.
2. Navigate to the "PIM" tab.
3. Select the employee to update.
4. Modify some employee details.
5. Cancel the changes.
6. Ensure that no changes were saved.</t>
  </si>
  <si>
    <t xml:space="preserve">Employee ID, Modified Information</t>
  </si>
  <si>
    <t xml:space="preserve">Employee details should remain unchanged after cancellation.</t>
  </si>
  <si>
    <t xml:space="preserve">Bug ID</t>
  </si>
  <si>
    <t xml:space="preserve">Issue Description</t>
  </si>
  <si>
    <t xml:space="preserve">Potential Bug</t>
  </si>
  <si>
    <t xml:space="preserve">Impact</t>
  </si>
  <si>
    <t xml:space="preserve">BUG_01</t>
  </si>
  <si>
    <t xml:space="preserve">Username and Password Fields Are Not Pre-filled</t>
  </si>
  <si>
    <t xml:space="preserve">The login form doesn't pre-fill the username and password fields with the provided credentials (Admin/admin123).</t>
  </si>
  <si>
    <t xml:space="preserve">Users may be confused or make mistakes while manually entering credentials, especially with autofill.</t>
  </si>
  <si>
    <t xml:space="preserve">Medium</t>
  </si>
  <si>
    <t xml:space="preserve">BUG_02</t>
  </si>
  <si>
    <t xml:space="preserve">Missing Password Visibility Toggle</t>
  </si>
  <si>
    <t xml:space="preserve">No eye icon to show or hide the password entered in the password field.</t>
  </si>
  <si>
    <t xml:space="preserve">Users are unable to check the password they typed, leading to frustration if they make a typo.</t>
  </si>
  <si>
    <t xml:space="preserve">High</t>
  </si>
  <si>
    <t xml:space="preserve">BUG_03</t>
  </si>
  <si>
    <t xml:space="preserve">Login Button Active Even When Fields Are Empty</t>
  </si>
  <si>
    <t xml:space="preserve">The "Login" button is clickable even if the username and password fields are empty.</t>
  </si>
  <si>
    <t xml:space="preserve">Users may click the login button with empty fields, resulting in unnecessary error messages.</t>
  </si>
  <si>
    <t xml:space="preserve">BUG_04</t>
  </si>
  <si>
    <t xml:space="preserve">No Error Message for Invalid Login Credentials</t>
  </si>
  <si>
    <t xml:space="preserve">When incorrect login credentials are entered, there is no clear error message indicating the issue.</t>
  </si>
  <si>
    <t xml:space="preserve">Users may not understand why they cannot log in and might make multiple unsuccessful attempts.</t>
  </si>
  <si>
    <t xml:space="preserve">BUG_05</t>
  </si>
  <si>
    <t xml:space="preserve">Lack of Focus Indicators for Input Fields</t>
  </si>
  <si>
    <t xml:space="preserve">The username and password fields may not have a clear focus indicator when clicked.</t>
  </si>
  <si>
    <t xml:space="preserve">Users may struggle to identify which field they are typing into, especially when switching between fields.</t>
  </si>
  <si>
    <t xml:space="preserve">BUG_06</t>
  </si>
  <si>
    <t xml:space="preserve">Login Button Doesn't Show Hover Effect</t>
  </si>
  <si>
    <t xml:space="preserve">The "Login" button does not show any hover effect, such as a color change, to indicate that it's clickable.</t>
  </si>
  <si>
    <t xml:space="preserve">Users may be unsure if the button is interactive or not, leading to a less intuitive experience.</t>
  </si>
  <si>
    <t xml:space="preserve">Low</t>
  </si>
  <si>
    <t xml:space="preserve">BUG_07</t>
  </si>
  <si>
    <t xml:space="preserve">No Help or Tooltip for Forgotten Password Link</t>
  </si>
  <si>
    <t xml:space="preserve">The "Forgot your password?" link does not have a tooltip or hover text to explain what will happen if clicked.</t>
  </si>
  <si>
    <t xml:space="preserve">Users may be unsure about what to expect if they click the link, leading to confusion.</t>
  </si>
</sst>
</file>

<file path=xl/styles.xml><?xml version="1.0" encoding="utf-8"?>
<styleSheet xmlns="http://schemas.openxmlformats.org/spreadsheetml/2006/main">
  <numFmts count="3">
    <numFmt numFmtId="164" formatCode="General"/>
    <numFmt numFmtId="165" formatCode="dd/mm/yyyy"/>
    <numFmt numFmtId="166" formatCode="General"/>
  </numFmts>
  <fonts count="24">
    <font>
      <sz val="11"/>
      <color theme="1"/>
      <name val="Aptos Narrow"/>
      <family val="2"/>
      <charset val="1"/>
    </font>
    <font>
      <sz val="10"/>
      <name val="Arial"/>
      <family val="0"/>
    </font>
    <font>
      <sz val="10"/>
      <name val="Arial"/>
      <family val="0"/>
    </font>
    <font>
      <sz val="10"/>
      <name val="Arial"/>
      <family val="0"/>
    </font>
    <font>
      <sz val="14"/>
      <color theme="0"/>
      <name val="Verdana"/>
      <family val="2"/>
      <charset val="1"/>
    </font>
    <font>
      <u val="single"/>
      <sz val="14"/>
      <color theme="10"/>
      <name val="Verdana"/>
      <family val="2"/>
      <charset val="1"/>
    </font>
    <font>
      <u val="single"/>
      <sz val="11"/>
      <color theme="10"/>
      <name val="Aptos Narrow"/>
      <family val="2"/>
      <charset val="1"/>
    </font>
    <font>
      <sz val="14"/>
      <color theme="1"/>
      <name val="Verdana"/>
      <family val="2"/>
      <charset val="1"/>
    </font>
    <font>
      <b val="true"/>
      <sz val="12"/>
      <color theme="0"/>
      <name val="Verdana"/>
      <family val="2"/>
      <charset val="1"/>
    </font>
    <font>
      <sz val="12"/>
      <color theme="1"/>
      <name val="Aptos Narrow"/>
      <family val="2"/>
      <charset val="1"/>
    </font>
    <font>
      <sz val="12"/>
      <color theme="1"/>
      <name val="Aptos Narrow"/>
      <family val="0"/>
      <charset val="1"/>
    </font>
    <font>
      <sz val="12"/>
      <color theme="1"/>
      <name val="Verdana"/>
      <family val="2"/>
      <charset val="1"/>
    </font>
    <font>
      <b val="true"/>
      <sz val="16"/>
      <color theme="0"/>
      <name val="Verdana"/>
      <family val="2"/>
      <charset val="1"/>
    </font>
    <font>
      <b val="true"/>
      <sz val="16"/>
      <color theme="0"/>
      <name val="Verdana"/>
      <family val="0"/>
      <charset val="1"/>
    </font>
    <font>
      <u val="single"/>
      <sz val="16"/>
      <color theme="10"/>
      <name val="Aptos Narrow"/>
      <family val="2"/>
      <charset val="1"/>
    </font>
    <font>
      <u val="single"/>
      <sz val="16"/>
      <color theme="10"/>
      <name val="Verdana"/>
      <family val="2"/>
      <charset val="1"/>
    </font>
    <font>
      <sz val="16"/>
      <color theme="0"/>
      <name val="Verdana"/>
      <family val="2"/>
      <charset val="1"/>
    </font>
    <font>
      <sz val="16"/>
      <color theme="0"/>
      <name val="Verdana"/>
      <family val="0"/>
      <charset val="1"/>
    </font>
    <font>
      <sz val="16"/>
      <color theme="0"/>
      <name val="Aptos Narrow"/>
      <family val="2"/>
      <charset val="1"/>
    </font>
    <font>
      <sz val="16"/>
      <color theme="1"/>
      <name val="Aptos Narrow"/>
      <family val="2"/>
      <charset val="1"/>
    </font>
    <font>
      <sz val="16"/>
      <color rgb="FF000000"/>
      <name val="Aptos Narrow"/>
      <family val="0"/>
      <charset val="1"/>
    </font>
    <font>
      <sz val="16"/>
      <color rgb="FF0F1115"/>
      <name val="Quote-Cjk-Patch"/>
      <family val="0"/>
      <charset val="1"/>
    </font>
    <font>
      <sz val="18"/>
      <color theme="1"/>
      <name val="Aptos Narrow"/>
      <family val="2"/>
      <charset val="1"/>
    </font>
    <font>
      <b val="true"/>
      <sz val="14"/>
      <color theme="0"/>
      <name val="Aptos Narrow"/>
      <family val="2"/>
      <charset val="1"/>
    </font>
  </fonts>
  <fills count="6">
    <fill>
      <patternFill patternType="none"/>
    </fill>
    <fill>
      <patternFill patternType="gray125"/>
    </fill>
    <fill>
      <patternFill patternType="solid">
        <fgColor theme="8" tint="-0.25"/>
        <bgColor rgb="FF993366"/>
      </patternFill>
    </fill>
    <fill>
      <patternFill patternType="solid">
        <fgColor theme="5" tint="0.3998"/>
        <bgColor rgb="FFFF99CC"/>
      </patternFill>
    </fill>
    <fill>
      <patternFill patternType="solid">
        <fgColor rgb="FFFFFFFF"/>
        <bgColor rgb="FFFFFFCC"/>
      </patternFill>
    </fill>
    <fill>
      <patternFill patternType="solid">
        <fgColor theme="7" tint="-0.25"/>
        <bgColor rgb="FF008080"/>
      </patternFill>
    </fill>
  </fills>
  <borders count="14">
    <border diagonalUp="false" diagonalDown="false">
      <left/>
      <right/>
      <top/>
      <bottom/>
      <diagonal/>
    </border>
    <border diagonalUp="false" diagonalDown="false">
      <left style="thin"/>
      <right style="thin"/>
      <top style="thin"/>
      <bottom style="thin">
        <color theme="0"/>
      </bottom>
      <diagonal/>
    </border>
    <border diagonalUp="false" diagonalDown="false">
      <left style="thin"/>
      <right style="thin"/>
      <top style="thin"/>
      <bottom style="thin"/>
      <diagonal/>
    </border>
    <border diagonalUp="false" diagonalDown="false">
      <left style="thin"/>
      <right style="thin"/>
      <top style="thin">
        <color theme="0"/>
      </top>
      <bottom style="thin">
        <color theme="0"/>
      </bottom>
      <diagonal/>
    </border>
    <border diagonalUp="false" diagonalDown="false">
      <left style="thin"/>
      <right style="thin"/>
      <top style="thin">
        <color theme="0"/>
      </top>
      <bottom style="thin"/>
      <diagonal/>
    </border>
    <border diagonalUp="false" diagonalDown="false">
      <left style="thin">
        <color theme="0"/>
      </left>
      <right/>
      <top style="thin">
        <color theme="0"/>
      </top>
      <bottom style="thin">
        <color theme="0"/>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diagonal/>
    </border>
    <border diagonalUp="false" diagonalDown="false">
      <left/>
      <right style="thin"/>
      <top style="thin"/>
      <bottom style="thin"/>
      <diagonal/>
    </border>
    <border diagonalUp="false" diagonalDown="false">
      <left style="thin"/>
      <right/>
      <top/>
      <bottom style="thin"/>
      <diagonal/>
    </border>
    <border diagonalUp="false" diagonalDown="false">
      <left style="thin"/>
      <right/>
      <top style="thin"/>
      <bottom style="thin"/>
      <diagonal/>
    </border>
    <border diagonalUp="false" diagonalDown="false">
      <left/>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2" xfId="20" applyFont="true" applyBorder="true" applyAlignment="false" applyProtection="tru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2" borderId="5" xfId="0" applyFont="true" applyBorder="true" applyAlignment="true" applyProtection="false">
      <alignment horizontal="center" vertical="bottom" textRotation="0" wrapText="false" indent="0" shrinkToFit="false"/>
      <protection locked="true" hidden="false"/>
    </xf>
    <xf numFmtId="164" fontId="5" fillId="0" borderId="2" xfId="2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5" fontId="7" fillId="0" borderId="2"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8" fillId="2" borderId="6" xfId="0" applyFont="true" applyBorder="true" applyAlignment="true" applyProtection="false">
      <alignment horizontal="general" vertical="center" textRotation="0" wrapText="false" indent="0" shrinkToFit="false"/>
      <protection locked="true" hidden="false"/>
    </xf>
    <xf numFmtId="164" fontId="8" fillId="2" borderId="6" xfId="0" applyFont="true" applyBorder="true" applyAlignment="true" applyProtection="false">
      <alignment horizontal="center" vertical="center" textRotation="0" wrapText="false" indent="0" shrinkToFit="false"/>
      <protection locked="true" hidden="false"/>
    </xf>
    <xf numFmtId="164" fontId="9" fillId="0" borderId="6" xfId="0" applyFont="true" applyBorder="true" applyAlignment="true" applyProtection="false">
      <alignment horizontal="center" vertical="center" textRotation="0" wrapText="false" indent="0" shrinkToFit="false"/>
      <protection locked="true" hidden="false"/>
    </xf>
    <xf numFmtId="164" fontId="6" fillId="0" borderId="2" xfId="20" applyFont="true" applyBorder="true" applyAlignment="false" applyProtection="tru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center" vertical="center" textRotation="0" wrapText="false" indent="0" shrinkToFit="false"/>
      <protection locked="true" hidden="false"/>
    </xf>
    <xf numFmtId="164" fontId="6" fillId="0" borderId="2" xfId="20" applyFont="true" applyBorder="true" applyAlignment="true" applyProtection="true">
      <alignment horizontal="left"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9" fillId="0" borderId="8"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2" fillId="2" borderId="6" xfId="0" applyFont="true" applyBorder="true" applyAlignment="true" applyProtection="false">
      <alignment horizontal="center" vertical="center" textRotation="0" wrapText="false" indent="0" shrinkToFit="false"/>
      <protection locked="true" hidden="false"/>
    </xf>
    <xf numFmtId="164" fontId="14" fillId="4" borderId="6" xfId="20" applyFont="true" applyBorder="true" applyAlignment="true" applyProtection="true">
      <alignment horizontal="center" vertical="center" textRotation="0" wrapText="false" indent="0" shrinkToFit="false"/>
      <protection locked="true" hidden="false"/>
    </xf>
    <xf numFmtId="164" fontId="15" fillId="4" borderId="6" xfId="20" applyFont="true" applyBorder="true" applyAlignment="true" applyProtection="true">
      <alignment horizontal="center" vertical="center" textRotation="0" wrapText="false" indent="0" shrinkToFit="false"/>
      <protection locked="true" hidden="false"/>
    </xf>
    <xf numFmtId="164" fontId="16" fillId="4" borderId="6" xfId="0" applyFont="true" applyBorder="true" applyAlignment="true" applyProtection="false">
      <alignment horizontal="center" vertical="center" textRotation="0" wrapText="false" indent="0" shrinkToFit="false"/>
      <protection locked="true" hidden="false"/>
    </xf>
    <xf numFmtId="164" fontId="17" fillId="4" borderId="9" xfId="0" applyFont="true" applyBorder="true" applyAlignment="true" applyProtection="false">
      <alignment horizontal="center" vertical="center" textRotation="0" wrapText="false" indent="0" shrinkToFit="false"/>
      <protection locked="true" hidden="false"/>
    </xf>
    <xf numFmtId="164" fontId="18" fillId="5" borderId="6" xfId="20" applyFont="true" applyBorder="true" applyAlignment="true" applyProtection="true">
      <alignment horizontal="center" vertical="center" textRotation="0" wrapText="false" indent="0" shrinkToFit="false"/>
      <protection locked="true" hidden="false"/>
    </xf>
    <xf numFmtId="166" fontId="19" fillId="0" borderId="2"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true" indent="0" shrinkToFit="false"/>
      <protection locked="true" hidden="false"/>
    </xf>
    <xf numFmtId="164" fontId="21" fillId="4" borderId="2" xfId="0" applyFont="true" applyBorder="tru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5" fontId="19" fillId="0" borderId="2" xfId="0" applyFont="true" applyBorder="true" applyAlignment="true" applyProtection="false">
      <alignment horizontal="center" vertical="center" textRotation="0" wrapText="false" indent="0" shrinkToFit="false"/>
      <protection locked="true" hidden="false"/>
    </xf>
    <xf numFmtId="166" fontId="19" fillId="0" borderId="6" xfId="0" applyFont="true" applyBorder="true" applyAlignment="true" applyProtection="false">
      <alignment horizontal="center" vertical="center" textRotation="0" wrapText="false" indent="0" shrinkToFit="false"/>
      <protection locked="true" hidden="false"/>
    </xf>
    <xf numFmtId="164" fontId="20" fillId="0" borderId="6" xfId="0" applyFont="true" applyBorder="true" applyAlignment="true" applyProtection="false">
      <alignment horizontal="center" vertical="center" textRotation="0" wrapText="false" indent="0" shrinkToFit="false"/>
      <protection locked="true" hidden="false"/>
    </xf>
    <xf numFmtId="164" fontId="19" fillId="0" borderId="6" xfId="0" applyFont="true" applyBorder="true" applyAlignment="true" applyProtection="false">
      <alignment horizontal="center" vertical="center" textRotation="0" wrapText="true" indent="0" shrinkToFit="false"/>
      <protection locked="true" hidden="false"/>
    </xf>
    <xf numFmtId="164" fontId="21" fillId="4" borderId="6" xfId="0" applyFont="true" applyBorder="true" applyAlignment="true" applyProtection="false">
      <alignment horizontal="center" vertical="center" textRotation="0" wrapText="true" indent="0" shrinkToFit="false"/>
      <protection locked="true" hidden="false"/>
    </xf>
    <xf numFmtId="164" fontId="19" fillId="0" borderId="6" xfId="0" applyFont="true" applyBorder="true" applyAlignment="true" applyProtection="false">
      <alignment horizontal="center" vertical="center" textRotation="0" wrapText="false" indent="0" shrinkToFit="false"/>
      <protection locked="true" hidden="false"/>
    </xf>
    <xf numFmtId="165" fontId="19"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general" vertical="center" textRotation="0" wrapText="false" indent="0" shrinkToFit="false"/>
      <protection locked="true" hidden="false"/>
    </xf>
    <xf numFmtId="164" fontId="13" fillId="2" borderId="2" xfId="0" applyFont="true" applyBorder="true" applyAlignment="true" applyProtection="false">
      <alignment horizontal="general" vertical="center" textRotation="0" wrapText="false" indent="0" shrinkToFit="false"/>
      <protection locked="true" hidden="false"/>
    </xf>
    <xf numFmtId="164" fontId="12" fillId="2" borderId="6" xfId="0" applyFont="true" applyBorder="true" applyAlignment="true" applyProtection="false">
      <alignment horizontal="general" vertical="center" textRotation="0" wrapText="false" indent="0" shrinkToFit="false"/>
      <protection locked="true" hidden="false"/>
    </xf>
    <xf numFmtId="164" fontId="14" fillId="4" borderId="6" xfId="20" applyFont="true" applyBorder="true" applyAlignment="true" applyProtection="true">
      <alignment horizontal="general" vertical="center" textRotation="0" wrapText="false" indent="0" shrinkToFit="false"/>
      <protection locked="true" hidden="false"/>
    </xf>
    <xf numFmtId="164" fontId="15" fillId="4" borderId="6" xfId="20" applyFont="true" applyBorder="true" applyAlignment="true" applyProtection="true">
      <alignment horizontal="general" vertical="center" textRotation="0" wrapText="false" indent="0" shrinkToFit="false"/>
      <protection locked="true" hidden="false"/>
    </xf>
    <xf numFmtId="164" fontId="16" fillId="4" borderId="6" xfId="0" applyFont="true" applyBorder="true" applyAlignment="true" applyProtection="false">
      <alignment horizontal="general" vertical="center" textRotation="0" wrapText="false" indent="0" shrinkToFit="false"/>
      <protection locked="true" hidden="false"/>
    </xf>
    <xf numFmtId="164" fontId="17" fillId="4" borderId="9" xfId="0" applyFont="true" applyBorder="true" applyAlignment="true" applyProtection="false">
      <alignment horizontal="general" vertical="center" textRotation="0" wrapText="false" indent="0" shrinkToFit="false"/>
      <protection locked="true" hidden="false"/>
    </xf>
    <xf numFmtId="164" fontId="18" fillId="5" borderId="2" xfId="20" applyFont="true" applyBorder="true" applyAlignment="true" applyProtection="true">
      <alignment horizontal="general" vertical="center" textRotation="0" wrapText="false" indent="0" shrinkToFit="false"/>
      <protection locked="true" hidden="false"/>
    </xf>
    <xf numFmtId="164" fontId="20" fillId="0" borderId="10" xfId="0" applyFont="true" applyBorder="true" applyAlignment="true" applyProtection="false">
      <alignment horizontal="general" vertical="center" textRotation="0" wrapText="false" indent="0" shrinkToFit="false"/>
      <protection locked="true" hidden="false"/>
    </xf>
    <xf numFmtId="164" fontId="21" fillId="4" borderId="2" xfId="0" applyFont="true" applyBorder="true" applyAlignment="true" applyProtection="false">
      <alignment horizontal="general" vertical="center" textRotation="0" wrapText="true" indent="0" shrinkToFit="false"/>
      <protection locked="true" hidden="false"/>
    </xf>
    <xf numFmtId="164" fontId="19" fillId="0" borderId="2" xfId="0" applyFont="true" applyBorder="true" applyAlignment="true" applyProtection="false">
      <alignment horizontal="general" vertical="center" textRotation="0" wrapText="true" indent="0" shrinkToFit="false"/>
      <protection locked="true" hidden="false"/>
    </xf>
    <xf numFmtId="164" fontId="19" fillId="0" borderId="2" xfId="0" applyFont="true" applyBorder="true" applyAlignment="true" applyProtection="false">
      <alignment horizontal="general" vertical="center" textRotation="0" wrapText="false" indent="0" shrinkToFit="false"/>
      <protection locked="true" hidden="false"/>
    </xf>
    <xf numFmtId="165" fontId="19" fillId="0" borderId="2" xfId="0" applyFont="true" applyBorder="true" applyAlignment="true" applyProtection="false">
      <alignment horizontal="general" vertical="center" textRotation="0" wrapText="false" indent="0" shrinkToFit="false"/>
      <protection locked="true" hidden="false"/>
    </xf>
    <xf numFmtId="166" fontId="19" fillId="0" borderId="11" xfId="0" applyFont="true" applyBorder="true" applyAlignment="true" applyProtection="false">
      <alignment horizontal="general" vertical="center" textRotation="0" wrapText="false" indent="0" shrinkToFit="false"/>
      <protection locked="true" hidden="false"/>
    </xf>
    <xf numFmtId="164" fontId="22" fillId="0" borderId="8" xfId="0" applyFont="true" applyBorder="true" applyAlignment="true" applyProtection="false">
      <alignment horizontal="general" vertical="center" textRotation="0" wrapText="false" indent="0" shrinkToFit="false"/>
      <protection locked="true" hidden="false"/>
    </xf>
    <xf numFmtId="164" fontId="22" fillId="0" borderId="8" xfId="0" applyFont="true" applyBorder="true" applyAlignment="true" applyProtection="false">
      <alignment horizontal="general" vertical="center" textRotation="0" wrapText="true" indent="0" shrinkToFit="false"/>
      <protection locked="true" hidden="false"/>
    </xf>
    <xf numFmtId="164" fontId="19" fillId="0" borderId="8" xfId="0" applyFont="true" applyBorder="true" applyAlignment="true" applyProtection="false">
      <alignment horizontal="general" vertical="center" textRotation="0" wrapText="false" indent="0" shrinkToFit="false"/>
      <protection locked="true" hidden="false"/>
    </xf>
    <xf numFmtId="164" fontId="19" fillId="0" borderId="6" xfId="0" applyFont="true" applyBorder="true" applyAlignment="true" applyProtection="false">
      <alignment horizontal="general" vertical="center" textRotation="0" wrapText="false" indent="0" shrinkToFit="false"/>
      <protection locked="true" hidden="false"/>
    </xf>
    <xf numFmtId="165" fontId="22" fillId="0" borderId="8" xfId="0" applyFont="true" applyBorder="true" applyAlignment="true" applyProtection="false">
      <alignment horizontal="general" vertical="center" textRotation="0" wrapText="false" indent="0" shrinkToFit="false"/>
      <protection locked="true" hidden="false"/>
    </xf>
    <xf numFmtId="166" fontId="19" fillId="0" borderId="12" xfId="0" applyFont="true" applyBorder="true" applyAlignment="true" applyProtection="false">
      <alignment horizontal="general" vertical="center" textRotation="0" wrapText="false" indent="0" shrinkToFit="false"/>
      <protection locked="true" hidden="false"/>
    </xf>
    <xf numFmtId="164" fontId="22" fillId="0" borderId="2" xfId="0" applyFont="true" applyBorder="true" applyAlignment="true" applyProtection="false">
      <alignment horizontal="general" vertical="center" textRotation="0" wrapText="false" indent="0" shrinkToFit="false"/>
      <protection locked="true" hidden="false"/>
    </xf>
    <xf numFmtId="164" fontId="22" fillId="0" borderId="2" xfId="0" applyFont="true" applyBorder="true" applyAlignment="true" applyProtection="false">
      <alignment horizontal="general" vertical="center" textRotation="0" wrapText="true" indent="0" shrinkToFit="false"/>
      <protection locked="true" hidden="false"/>
    </xf>
    <xf numFmtId="165" fontId="22" fillId="0" borderId="2" xfId="0" applyFont="true" applyBorder="true" applyAlignment="true" applyProtection="false">
      <alignment horizontal="general" vertical="center" textRotation="0" wrapText="false" indent="0" shrinkToFit="false"/>
      <protection locked="true" hidden="false"/>
    </xf>
    <xf numFmtId="164" fontId="19" fillId="0" borderId="12" xfId="0" applyFont="true" applyBorder="true" applyAlignment="true" applyProtection="false">
      <alignment horizontal="general" vertical="center" textRotation="0" wrapText="false" indent="0" shrinkToFit="false"/>
      <protection locked="true" hidden="false"/>
    </xf>
    <xf numFmtId="164" fontId="19" fillId="0" borderId="13" xfId="0" applyFont="true" applyBorder="true" applyAlignment="true" applyProtection="false">
      <alignment horizontal="general" vertical="center" textRotation="0" wrapText="false" indent="0" shrinkToFit="false"/>
      <protection locked="true" hidden="false"/>
    </xf>
    <xf numFmtId="164" fontId="23" fillId="2"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77A0"/>
      <rgbColor rgb="FFC0C0C0"/>
      <rgbColor rgb="FF808080"/>
      <rgbColor rgb="FF9999FF"/>
      <rgbColor rgb="FF78206E"/>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1AB83"/>
      <rgbColor rgb="FF3366FF"/>
      <rgbColor rgb="FF33CCCC"/>
      <rgbColor rgb="FF99CC00"/>
      <rgbColor rgb="FFFFCC00"/>
      <rgbColor rgb="FFFF9900"/>
      <rgbColor rgb="FFFF6600"/>
      <rgbColor rgb="FF467886"/>
      <rgbColor rgb="FF969696"/>
      <rgbColor rgb="FF003366"/>
      <rgbColor rgb="FF4EA72E"/>
      <rgbColor rgb="FF0F1115"/>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257400</xdr:colOff>
      <xdr:row>0</xdr:row>
      <xdr:rowOff>633960</xdr:rowOff>
    </xdr:to>
    <xdr:pic>
      <xdr:nvPicPr>
        <xdr:cNvPr id="0" name="Image 1" descr=""/>
        <xdr:cNvPicPr/>
      </xdr:nvPicPr>
      <xdr:blipFill>
        <a:blip r:embed="rId1"/>
        <a:stretch/>
      </xdr:blipFill>
      <xdr:spPr>
        <a:xfrm>
          <a:off x="3303360" y="0"/>
          <a:ext cx="5389560" cy="6339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7421875" defaultRowHeight="15" zeroHeight="false" outlineLevelRow="0" outlineLevelCol="0"/>
  <cols>
    <col collapsed="false" customWidth="true" hidden="false" outlineLevel="0" max="2" min="2" style="0" width="41.14"/>
    <col collapsed="false" customWidth="true" hidden="false" outlineLevel="0" max="3" min="3" style="0" width="41.57"/>
    <col collapsed="false" customWidth="true" hidden="false" outlineLevel="0" max="4" min="4" style="0" width="27.43"/>
  </cols>
  <sheetData>
    <row r="2" customFormat="false" ht="17.25" hidden="false" customHeight="false" outlineLevel="0" collapsed="false">
      <c r="B2" s="1" t="s">
        <v>0</v>
      </c>
      <c r="C2" s="2" t="s">
        <v>1</v>
      </c>
      <c r="D2" s="3"/>
    </row>
    <row r="3" customFormat="false" ht="20.25" hidden="false" customHeight="false" outlineLevel="0" collapsed="false">
      <c r="B3" s="4" t="s">
        <v>2</v>
      </c>
      <c r="C3" s="5" t="s">
        <v>3</v>
      </c>
      <c r="D3" s="3"/>
    </row>
    <row r="4" customFormat="false" ht="17.25" hidden="false" customHeight="false" outlineLevel="0" collapsed="false">
      <c r="B4" s="6" t="s">
        <v>4</v>
      </c>
      <c r="C4" s="7" t="s">
        <v>5</v>
      </c>
      <c r="D4" s="7"/>
    </row>
    <row r="5" customFormat="false" ht="17.25" hidden="false" customHeight="false" outlineLevel="0" collapsed="false">
      <c r="B5" s="6"/>
      <c r="C5" s="7" t="s">
        <v>6</v>
      </c>
      <c r="D5" s="7"/>
    </row>
    <row r="6" customFormat="false" ht="17.25" hidden="false" customHeight="false" outlineLevel="0" collapsed="false">
      <c r="B6" s="6"/>
      <c r="C6" s="7" t="s">
        <v>7</v>
      </c>
      <c r="D6" s="7"/>
    </row>
    <row r="7" customFormat="false" ht="17.25" hidden="false" customHeight="false" outlineLevel="0" collapsed="false">
      <c r="B7" s="6"/>
      <c r="C7" s="7"/>
      <c r="D7" s="7"/>
    </row>
    <row r="8" customFormat="false" ht="17.25" hidden="false" customHeight="false" outlineLevel="0" collapsed="false">
      <c r="B8" s="6"/>
      <c r="C8" s="7"/>
      <c r="D8" s="7"/>
    </row>
  </sheetData>
  <mergeCells count="1">
    <mergeCell ref="B4:B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F13" activeCellId="0" sqref="F13"/>
    </sheetView>
  </sheetViews>
  <sheetFormatPr defaultColWidth="41.2890625" defaultRowHeight="54.75" zeroHeight="false" outlineLevelRow="0" outlineLevelCol="0"/>
  <cols>
    <col collapsed="false" customWidth="true" hidden="false" outlineLevel="0" max="2" min="2" style="0" width="64.14"/>
  </cols>
  <sheetData>
    <row r="1" customFormat="false" ht="54.75" hidden="false" customHeight="true" outlineLevel="0" collapsed="false">
      <c r="B1" s="8"/>
      <c r="D1" s="9"/>
      <c r="E1" s="10"/>
    </row>
    <row r="2" customFormat="false" ht="11.25" hidden="false" customHeight="true" outlineLevel="0" collapsed="false">
      <c r="B2" s="8"/>
      <c r="D2" s="9"/>
      <c r="E2" s="10"/>
    </row>
    <row r="3" customFormat="false" ht="54.75" hidden="false" customHeight="true" outlineLevel="0" collapsed="false">
      <c r="D3" s="9"/>
      <c r="E3" s="10"/>
    </row>
    <row r="4" customFormat="false" ht="54.75" hidden="false" customHeight="true" outlineLevel="0" collapsed="false">
      <c r="B4" s="11" t="s">
        <v>8</v>
      </c>
      <c r="C4" s="12" t="s">
        <v>1</v>
      </c>
      <c r="D4" s="12"/>
      <c r="E4" s="13"/>
    </row>
    <row r="5" customFormat="false" ht="54.75" hidden="false" customHeight="true" outlineLevel="0" collapsed="false">
      <c r="B5" s="11" t="s">
        <v>9</v>
      </c>
      <c r="C5" s="12" t="s">
        <v>10</v>
      </c>
      <c r="D5" s="12"/>
      <c r="E5" s="13"/>
    </row>
    <row r="6" customFormat="false" ht="54.75" hidden="false" customHeight="true" outlineLevel="0" collapsed="false">
      <c r="B6" s="11" t="s">
        <v>11</v>
      </c>
      <c r="C6" s="14" t="s">
        <v>12</v>
      </c>
      <c r="D6" s="14"/>
      <c r="E6" s="13"/>
    </row>
    <row r="7" customFormat="false" ht="54.75" hidden="false" customHeight="true" outlineLevel="0" collapsed="false">
      <c r="B7" s="11" t="s">
        <v>13</v>
      </c>
      <c r="C7" s="14" t="s">
        <v>3</v>
      </c>
      <c r="D7" s="14"/>
      <c r="E7" s="13"/>
    </row>
    <row r="8" customFormat="false" ht="54.75" hidden="false" customHeight="true" outlineLevel="0" collapsed="false">
      <c r="B8" s="11" t="s">
        <v>14</v>
      </c>
      <c r="C8" s="15" t="n">
        <v>45868</v>
      </c>
      <c r="D8" s="15"/>
      <c r="E8" s="13"/>
    </row>
    <row r="9" customFormat="false" ht="54.75" hidden="false" customHeight="true" outlineLevel="0" collapsed="false">
      <c r="B9" s="11" t="s">
        <v>15</v>
      </c>
      <c r="C9" s="15" t="n">
        <v>45868</v>
      </c>
      <c r="D9" s="15"/>
      <c r="E9" s="13"/>
    </row>
    <row r="10" customFormat="false" ht="54.75" hidden="false" customHeight="true" outlineLevel="0" collapsed="false">
      <c r="B10" s="3"/>
      <c r="C10" s="3"/>
      <c r="D10" s="16"/>
      <c r="E10" s="13"/>
    </row>
    <row r="11" customFormat="false" ht="54.75" hidden="false" customHeight="true" outlineLevel="0" collapsed="false">
      <c r="B11" s="3"/>
      <c r="C11" s="3"/>
      <c r="D11" s="16"/>
      <c r="E11" s="13"/>
    </row>
    <row r="12" customFormat="false" ht="54.75" hidden="false" customHeight="true" outlineLevel="0" collapsed="false">
      <c r="A12" s="17" t="s">
        <v>16</v>
      </c>
      <c r="B12" s="17" t="s">
        <v>17</v>
      </c>
      <c r="C12" s="17" t="s">
        <v>18</v>
      </c>
      <c r="D12" s="17" t="s">
        <v>19</v>
      </c>
      <c r="E12" s="18" t="s">
        <v>20</v>
      </c>
      <c r="F12" s="17" t="s">
        <v>21</v>
      </c>
    </row>
    <row r="13" customFormat="false" ht="54.75" hidden="false" customHeight="true" outlineLevel="0" collapsed="false">
      <c r="A13" s="19" t="s">
        <v>22</v>
      </c>
      <c r="B13" s="20" t="str">
        <f aca="false">HYPERLINK("#'Orange_Hrm_LoginPage'!A4", "(TS 001) OrnageHrm LoginPage")</f>
        <v>(TS 001) OrnageHrm LoginPage</v>
      </c>
      <c r="C13" s="21" t="s">
        <v>23</v>
      </c>
      <c r="D13" s="22" t="s">
        <v>24</v>
      </c>
      <c r="E13" s="23" t="s">
        <v>25</v>
      </c>
      <c r="F13" s="24" t="n">
        <v>45930</v>
      </c>
    </row>
    <row r="14" customFormat="false" ht="54.75" hidden="false" customHeight="true" outlineLevel="0" collapsed="false">
      <c r="A14" s="25" t="s">
        <v>26</v>
      </c>
      <c r="B14" s="20" t="str">
        <f aca="false">HYPERLINK("#'Orange_Hrm_Employee_Crud'!A1", "(TS 002) Employee CRUD Operation")</f>
        <v>(TS 002) Employee CRUD Operation</v>
      </c>
      <c r="C14" s="21" t="s">
        <v>23</v>
      </c>
      <c r="D14" s="22" t="s">
        <v>27</v>
      </c>
      <c r="E14" s="23" t="s">
        <v>25</v>
      </c>
      <c r="F14" s="24" t="n">
        <v>45930</v>
      </c>
    </row>
    <row r="15" customFormat="false" ht="54.75" hidden="false" customHeight="true" outlineLevel="0" collapsed="false">
      <c r="A15" s="25"/>
      <c r="B15" s="26"/>
      <c r="C15" s="21"/>
      <c r="D15" s="27"/>
      <c r="E15" s="27"/>
      <c r="F15" s="24"/>
    </row>
    <row r="16" customFormat="false" ht="54.75" hidden="false" customHeight="true" outlineLevel="0" collapsed="false">
      <c r="A16" s="28"/>
      <c r="B16" s="26"/>
      <c r="C16" s="21"/>
      <c r="D16" s="27"/>
      <c r="E16" s="27"/>
      <c r="F16" s="24"/>
    </row>
  </sheetData>
  <mergeCells count="7">
    <mergeCell ref="B1:B2"/>
    <mergeCell ref="C4:D4"/>
    <mergeCell ref="C5:D5"/>
    <mergeCell ref="C6:D6"/>
    <mergeCell ref="C7:D7"/>
    <mergeCell ref="C8:D8"/>
    <mergeCell ref="C9:D9"/>
  </mergeCells>
  <dataValidations count="2">
    <dataValidation allowBlank="true" errorStyle="stop" operator="between" showDropDown="false" showErrorMessage="true" showInputMessage="true" sqref="E1:E11" type="none">
      <formula1>0</formula1>
      <formula2>0</formula2>
    </dataValidation>
    <dataValidation allowBlank="true" errorStyle="stop" operator="between" showDropDown="false" showErrorMessage="true" showInputMessage="true" sqref="E13:E16" type="list">
      <formula1>"P1,P2,P3,P4,P5"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pane xSplit="0" ySplit="1" topLeftCell="A13" activePane="bottomLeft" state="frozen"/>
      <selection pane="topLeft" activeCell="I1" activeCellId="0" sqref="I1"/>
      <selection pane="bottomLeft" activeCell="K13" activeCellId="0" sqref="K13"/>
    </sheetView>
  </sheetViews>
  <sheetFormatPr defaultColWidth="50.4296875" defaultRowHeight="178.5" zeroHeight="false" outlineLevelRow="0" outlineLevelCol="0"/>
  <cols>
    <col collapsed="false" customWidth="true" hidden="false" outlineLevel="0" max="1" min="1" style="10" width="101.86"/>
    <col collapsed="false" customWidth="false" hidden="false" outlineLevel="0" max="6" min="2" style="10" width="50.43"/>
    <col collapsed="false" customWidth="true" hidden="false" outlineLevel="0" max="7" min="7" style="10" width="105.71"/>
    <col collapsed="false" customWidth="true" hidden="false" outlineLevel="0" max="8" min="8" style="10" width="72.72"/>
    <col collapsed="false" customWidth="false" hidden="false" outlineLevel="0" max="16384" min="9" style="10" width="50.43"/>
  </cols>
  <sheetData>
    <row r="1" customFormat="false" ht="41.25" hidden="false" customHeight="true" outlineLevel="0" collapsed="false">
      <c r="A1" s="29" t="s">
        <v>28</v>
      </c>
      <c r="B1" s="29" t="s">
        <v>17</v>
      </c>
      <c r="C1" s="29" t="s">
        <v>29</v>
      </c>
      <c r="D1" s="29" t="s">
        <v>30</v>
      </c>
      <c r="E1" s="29" t="s">
        <v>31</v>
      </c>
      <c r="F1" s="29" t="s">
        <v>32</v>
      </c>
      <c r="G1" s="29" t="s">
        <v>33</v>
      </c>
      <c r="H1" s="29" t="s">
        <v>34</v>
      </c>
      <c r="I1" s="29" t="s">
        <v>20</v>
      </c>
      <c r="J1" s="30" t="s">
        <v>35</v>
      </c>
      <c r="K1" s="31" t="s">
        <v>36</v>
      </c>
      <c r="L1" s="31" t="s">
        <v>37</v>
      </c>
    </row>
    <row r="2" customFormat="false" ht="44.25" hidden="false" customHeight="true" outlineLevel="0" collapsed="false">
      <c r="A2" s="32" t="str">
        <f aca="false">HYPERLINK("#'Test Scenarios'!A15", "&lt;&lt;TEST SCENARIOS")</f>
        <v>&lt;&lt;TEST SCENARIOS</v>
      </c>
      <c r="B2" s="33"/>
      <c r="C2" s="34"/>
      <c r="D2" s="34"/>
      <c r="E2" s="34"/>
      <c r="F2" s="34"/>
      <c r="G2" s="34"/>
      <c r="H2" s="34"/>
      <c r="I2" s="34"/>
      <c r="J2" s="35"/>
      <c r="K2" s="34"/>
      <c r="L2" s="34"/>
    </row>
    <row r="3" customFormat="false" ht="63" hidden="false" customHeight="true" outlineLevel="0" collapsed="false">
      <c r="A3" s="36" t="s">
        <v>38</v>
      </c>
      <c r="B3" s="33"/>
      <c r="C3" s="34"/>
      <c r="D3" s="34"/>
      <c r="E3" s="34"/>
      <c r="F3" s="34"/>
      <c r="G3" s="34"/>
      <c r="H3" s="34"/>
      <c r="I3" s="34"/>
      <c r="J3" s="35"/>
      <c r="K3" s="34"/>
      <c r="L3" s="34"/>
    </row>
    <row r="4" customFormat="false" ht="178.5" hidden="false" customHeight="true" outlineLevel="0" collapsed="false">
      <c r="A4" s="37" t="str">
        <f aca="false">"TC_ORANGE_HRM_LOGIN_PAGE_" &amp; TEXT(ROW(A1), "000")</f>
        <v>TC_ORANGE_HRM_LOGIN_PAGE_001</v>
      </c>
      <c r="B4" s="38" t="s">
        <v>39</v>
      </c>
      <c r="C4" s="37" t="s">
        <v>24</v>
      </c>
      <c r="D4" s="39" t="s">
        <v>40</v>
      </c>
      <c r="E4" s="39" t="s">
        <v>41</v>
      </c>
      <c r="F4" s="39" t="s">
        <v>42</v>
      </c>
      <c r="G4" s="40" t="s">
        <v>43</v>
      </c>
      <c r="H4" s="37" t="s">
        <v>44</v>
      </c>
      <c r="I4" s="41" t="s">
        <v>25</v>
      </c>
      <c r="J4" s="41" t="s">
        <v>45</v>
      </c>
      <c r="K4" s="41" t="s">
        <v>46</v>
      </c>
      <c r="L4" s="42" t="n">
        <v>45930</v>
      </c>
    </row>
    <row r="5" customFormat="false" ht="178.5" hidden="false" customHeight="true" outlineLevel="0" collapsed="false">
      <c r="A5" s="37" t="str">
        <f aca="false">"TC_ORANGE_HRM_LOGIN_PAGE_" &amp; TEXT(ROW(A2), "000")</f>
        <v>TC_ORANGE_HRM_LOGIN_PAGE_002</v>
      </c>
      <c r="B5" s="38" t="s">
        <v>39</v>
      </c>
      <c r="C5" s="37" t="s">
        <v>24</v>
      </c>
      <c r="D5" s="39" t="s">
        <v>40</v>
      </c>
      <c r="E5" s="40" t="s">
        <v>47</v>
      </c>
      <c r="F5" s="39" t="s">
        <v>48</v>
      </c>
      <c r="G5" s="40" t="s">
        <v>49</v>
      </c>
      <c r="H5" s="37" t="s">
        <v>44</v>
      </c>
      <c r="I5" s="41" t="s">
        <v>25</v>
      </c>
      <c r="J5" s="41" t="s">
        <v>45</v>
      </c>
      <c r="K5" s="41" t="s">
        <v>46</v>
      </c>
      <c r="L5" s="42" t="n">
        <v>45930</v>
      </c>
    </row>
    <row r="6" customFormat="false" ht="178.5" hidden="false" customHeight="true" outlineLevel="0" collapsed="false">
      <c r="A6" s="37" t="str">
        <f aca="false">"TC_ORANGE_HRM_LOGIN_PAGE_" &amp; TEXT(ROW(A3), "000")</f>
        <v>TC_ORANGE_HRM_LOGIN_PAGE_003</v>
      </c>
      <c r="B6" s="38" t="s">
        <v>39</v>
      </c>
      <c r="C6" s="37" t="s">
        <v>24</v>
      </c>
      <c r="D6" s="39" t="s">
        <v>40</v>
      </c>
      <c r="E6" s="40" t="s">
        <v>50</v>
      </c>
      <c r="F6" s="39" t="s">
        <v>51</v>
      </c>
      <c r="G6" s="40" t="s">
        <v>49</v>
      </c>
      <c r="H6" s="37" t="s">
        <v>44</v>
      </c>
      <c r="I6" s="41" t="s">
        <v>25</v>
      </c>
      <c r="J6" s="41" t="s">
        <v>45</v>
      </c>
      <c r="K6" s="41" t="s">
        <v>46</v>
      </c>
      <c r="L6" s="42" t="n">
        <v>45930</v>
      </c>
    </row>
    <row r="7" customFormat="false" ht="178.5" hidden="false" customHeight="true" outlineLevel="0" collapsed="false">
      <c r="A7" s="37" t="str">
        <f aca="false">"TC_ORANGE_HRM_LOGIN_PAGE_" &amp; TEXT(ROW(A4), "000")</f>
        <v>TC_ORANGE_HRM_LOGIN_PAGE_004</v>
      </c>
      <c r="B7" s="38" t="s">
        <v>39</v>
      </c>
      <c r="C7" s="37" t="s">
        <v>24</v>
      </c>
      <c r="D7" s="39" t="s">
        <v>40</v>
      </c>
      <c r="E7" s="40" t="s">
        <v>52</v>
      </c>
      <c r="F7" s="39" t="s">
        <v>53</v>
      </c>
      <c r="G7" s="40" t="s">
        <v>54</v>
      </c>
      <c r="H7" s="37" t="s">
        <v>44</v>
      </c>
      <c r="I7" s="41" t="s">
        <v>25</v>
      </c>
      <c r="J7" s="41" t="s">
        <v>45</v>
      </c>
      <c r="K7" s="41" t="s">
        <v>46</v>
      </c>
      <c r="L7" s="42" t="n">
        <v>45930</v>
      </c>
    </row>
    <row r="8" customFormat="false" ht="178.5" hidden="false" customHeight="true" outlineLevel="0" collapsed="false">
      <c r="A8" s="37" t="str">
        <f aca="false">"TC_ORANGE_HRM_LOGIN_PAGE_" &amp; TEXT(ROW(A5), "000")</f>
        <v>TC_ORANGE_HRM_LOGIN_PAGE_005</v>
      </c>
      <c r="B8" s="38" t="s">
        <v>39</v>
      </c>
      <c r="C8" s="37" t="s">
        <v>24</v>
      </c>
      <c r="D8" s="39" t="s">
        <v>40</v>
      </c>
      <c r="E8" s="40" t="s">
        <v>55</v>
      </c>
      <c r="F8" s="39" t="s">
        <v>56</v>
      </c>
      <c r="G8" s="40" t="s">
        <v>57</v>
      </c>
      <c r="H8" s="37" t="s">
        <v>44</v>
      </c>
      <c r="I8" s="41" t="s">
        <v>25</v>
      </c>
      <c r="J8" s="41" t="s">
        <v>45</v>
      </c>
      <c r="K8" s="41" t="s">
        <v>46</v>
      </c>
      <c r="L8" s="42" t="n">
        <v>45930</v>
      </c>
    </row>
    <row r="9" customFormat="false" ht="178.5" hidden="false" customHeight="true" outlineLevel="0" collapsed="false">
      <c r="A9" s="37" t="str">
        <f aca="false">"TC_ORANGE_HRM_LOGIN_PAGE_" &amp; TEXT(ROW(A6), "000")</f>
        <v>TC_ORANGE_HRM_LOGIN_PAGE_006</v>
      </c>
      <c r="B9" s="38" t="s">
        <v>39</v>
      </c>
      <c r="C9" s="37" t="s">
        <v>24</v>
      </c>
      <c r="D9" s="39" t="s">
        <v>40</v>
      </c>
      <c r="E9" s="40" t="s">
        <v>58</v>
      </c>
      <c r="F9" s="39" t="s">
        <v>59</v>
      </c>
      <c r="G9" s="40" t="s">
        <v>60</v>
      </c>
      <c r="H9" s="37" t="s">
        <v>44</v>
      </c>
      <c r="I9" s="41" t="s">
        <v>25</v>
      </c>
      <c r="J9" s="41" t="s">
        <v>45</v>
      </c>
      <c r="K9" s="41" t="s">
        <v>46</v>
      </c>
      <c r="L9" s="42" t="n">
        <v>45930</v>
      </c>
    </row>
    <row r="10" customFormat="false" ht="178.5" hidden="false" customHeight="true" outlineLevel="0" collapsed="false">
      <c r="A10" s="43" t="str">
        <f aca="false">"TC_ORANGE_HRM_LOGIN_PAGE_" &amp; TEXT(ROW(A7), "000")</f>
        <v>TC_ORANGE_HRM_LOGIN_PAGE_007</v>
      </c>
      <c r="B10" s="44" t="s">
        <v>39</v>
      </c>
      <c r="C10" s="43" t="s">
        <v>24</v>
      </c>
      <c r="D10" s="45" t="s">
        <v>40</v>
      </c>
      <c r="E10" s="46" t="s">
        <v>61</v>
      </c>
      <c r="F10" s="45" t="s">
        <v>62</v>
      </c>
      <c r="G10" s="46" t="s">
        <v>63</v>
      </c>
      <c r="H10" s="43" t="s">
        <v>44</v>
      </c>
      <c r="I10" s="47" t="s">
        <v>25</v>
      </c>
      <c r="J10" s="47" t="s">
        <v>45</v>
      </c>
      <c r="K10" s="47" t="s">
        <v>46</v>
      </c>
      <c r="L10" s="48" t="n">
        <v>45930</v>
      </c>
    </row>
    <row r="11" customFormat="false" ht="178.5" hidden="false" customHeight="true" outlineLevel="0" collapsed="false">
      <c r="A11" s="41" t="str">
        <f aca="false">"TC_ORANGE_HRM_LOGIN_PAGE_" &amp; TEXT(ROW(A8), "000")</f>
        <v>TC_ORANGE_HRM_LOGIN_PAGE_008</v>
      </c>
      <c r="B11" s="38" t="s">
        <v>39</v>
      </c>
      <c r="C11" s="40" t="s">
        <v>64</v>
      </c>
      <c r="D11" s="39" t="s">
        <v>40</v>
      </c>
      <c r="E11" s="40" t="s">
        <v>65</v>
      </c>
      <c r="F11" s="39" t="s">
        <v>66</v>
      </c>
      <c r="G11" s="40" t="s">
        <v>67</v>
      </c>
      <c r="H11" s="41" t="s">
        <v>44</v>
      </c>
      <c r="I11" s="41" t="s">
        <v>25</v>
      </c>
      <c r="J11" s="41" t="s">
        <v>45</v>
      </c>
      <c r="K11" s="41" t="s">
        <v>46</v>
      </c>
      <c r="L11" s="42" t="n">
        <v>45930</v>
      </c>
    </row>
    <row r="12" s="49" customFormat="true" ht="178.5" hidden="false" customHeight="true" outlineLevel="0" collapsed="false"/>
  </sheetData>
  <conditionalFormatting sqref="K4:K11">
    <cfRule type="containsText" priority="2" operator="containsText" aboveAverage="0" equalAverage="0" bottom="0" percent="0" rank="0" text="NOT TESTED" dxfId="0">
      <formula>NOT(ISERROR(SEARCH("NOT TESTED",K4)))</formula>
    </cfRule>
    <cfRule type="containsText" priority="3" operator="containsText" aboveAverage="0" equalAverage="0" bottom="0" percent="0" rank="0" text="BLOCKED" dxfId="1">
      <formula>NOT(ISERROR(SEARCH("BLOCKED",K4)))</formula>
    </cfRule>
    <cfRule type="containsText" priority="4" operator="containsText" aboveAverage="0" equalAverage="0" bottom="0" percent="0" rank="0" text="FAIL" dxfId="2">
      <formula>NOT(ISERROR(SEARCH("FAIL",K4)))</formula>
    </cfRule>
    <cfRule type="containsText" priority="5" operator="containsText" aboveAverage="0" equalAverage="0" bottom="0" percent="0" rank="0" text="PASS" dxfId="3">
      <formula>NOT(ISERROR(SEARCH("PASS",K4)))</formula>
    </cfRule>
  </conditionalFormatting>
  <dataValidations count="3">
    <dataValidation allowBlank="true" errorStyle="stop" operator="between" showDropDown="false" showErrorMessage="true" showInputMessage="true" sqref="I2:I11" type="list">
      <formula1>"P1,P2,P3,P4,P5"</formula1>
      <formula2>0</formula2>
    </dataValidation>
    <dataValidation allowBlank="true" errorStyle="stop" operator="between" showDropDown="false" showErrorMessage="true" showInputMessage="true" sqref="J2:J11" type="list">
      <formula1>"BLOCKER,CRITICAL,MAJOR,MEDIUM,LOW"</formula1>
      <formula2>0</formula2>
    </dataValidation>
    <dataValidation allowBlank="true" errorStyle="stop" operator="between" showDropDown="false" showErrorMessage="true" showInputMessage="true" sqref="K2:K11" type="list">
      <formula1>"PASS,FAIL,Blocked,Not 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D5" activeCellId="0" sqref="D5"/>
    </sheetView>
  </sheetViews>
  <sheetFormatPr defaultColWidth="8.59765625" defaultRowHeight="184.5" zeroHeight="false" outlineLevelRow="0" outlineLevelCol="0"/>
  <cols>
    <col collapsed="false" customWidth="true" hidden="false" outlineLevel="0" max="1" min="1" style="0" width="51.57"/>
    <col collapsed="false" customWidth="true" hidden="false" outlineLevel="0" max="2" min="2" style="0" width="53.57"/>
    <col collapsed="false" customWidth="true" hidden="false" outlineLevel="0" max="3" min="3" style="0" width="36.43"/>
    <col collapsed="false" customWidth="true" hidden="false" outlineLevel="0" max="4" min="4" style="0" width="65.71"/>
    <col collapsed="false" customWidth="true" hidden="false" outlineLevel="0" max="5" min="5" style="0" width="57.14"/>
    <col collapsed="false" customWidth="true" hidden="false" outlineLevel="0" max="6" min="6" style="0" width="72.29"/>
    <col collapsed="false" customWidth="true" hidden="false" outlineLevel="0" max="7" min="7" style="0" width="97.43"/>
    <col collapsed="false" customWidth="true" hidden="false" outlineLevel="0" max="8" min="8" style="0" width="31.86"/>
    <col collapsed="false" customWidth="true" hidden="false" outlineLevel="0" max="9" min="9" style="0" width="14.29"/>
    <col collapsed="false" customWidth="true" hidden="false" outlineLevel="0" max="10" min="10" style="0" width="16.72"/>
    <col collapsed="false" customWidth="true" hidden="false" outlineLevel="0" max="11" min="11" style="0" width="60.29"/>
    <col collapsed="false" customWidth="true" hidden="false" outlineLevel="0" max="12" min="12" style="0" width="39.58"/>
  </cols>
  <sheetData>
    <row r="1" customFormat="false" ht="29.25" hidden="false" customHeight="true" outlineLevel="0" collapsed="false">
      <c r="A1" s="50" t="s">
        <v>28</v>
      </c>
      <c r="B1" s="50" t="s">
        <v>17</v>
      </c>
      <c r="C1" s="50" t="s">
        <v>29</v>
      </c>
      <c r="D1" s="50" t="s">
        <v>30</v>
      </c>
      <c r="E1" s="50" t="s">
        <v>31</v>
      </c>
      <c r="F1" s="50" t="s">
        <v>32</v>
      </c>
      <c r="G1" s="50" t="s">
        <v>33</v>
      </c>
      <c r="H1" s="50" t="s">
        <v>34</v>
      </c>
      <c r="I1" s="50" t="s">
        <v>20</v>
      </c>
      <c r="J1" s="51" t="s">
        <v>35</v>
      </c>
      <c r="K1" s="52" t="s">
        <v>36</v>
      </c>
      <c r="L1" s="52" t="s">
        <v>37</v>
      </c>
    </row>
    <row r="2" customFormat="false" ht="43.5" hidden="false" customHeight="true" outlineLevel="0" collapsed="false">
      <c r="A2" s="53" t="str">
        <f aca="false">HYPERLINK("#'Test Scenarios'!A15", "&lt;&lt;TEST SCENARIOS")</f>
        <v>&lt;&lt;TEST SCENARIOS</v>
      </c>
      <c r="B2" s="54"/>
      <c r="C2" s="55"/>
      <c r="D2" s="55"/>
      <c r="E2" s="55"/>
      <c r="F2" s="55"/>
      <c r="G2" s="55"/>
      <c r="H2" s="55"/>
      <c r="I2" s="55"/>
      <c r="J2" s="56"/>
      <c r="K2" s="55"/>
      <c r="L2" s="55"/>
    </row>
    <row r="3" customFormat="false" ht="30.75" hidden="false" customHeight="true" outlineLevel="0" collapsed="false">
      <c r="A3" s="57" t="s">
        <v>68</v>
      </c>
      <c r="B3" s="58"/>
      <c r="C3" s="59"/>
      <c r="D3" s="60"/>
      <c r="E3" s="59"/>
      <c r="F3" s="60"/>
      <c r="G3" s="59"/>
      <c r="H3" s="61"/>
      <c r="I3" s="61"/>
      <c r="J3" s="61"/>
      <c r="K3" s="61"/>
      <c r="L3" s="62"/>
    </row>
    <row r="4" customFormat="false" ht="184.5" hidden="false" customHeight="true" outlineLevel="0" collapsed="false">
      <c r="A4" s="63" t="str">
        <f aca="false">"TC_Employee_List_CRUD_Operation_" &amp; TEXT(ROW(Orange_Hrm_LoginPage!A9), "000")</f>
        <v>TC_Employee_List_CRUD_Operation_009</v>
      </c>
      <c r="B4" s="64" t="s">
        <v>69</v>
      </c>
      <c r="C4" s="64" t="s">
        <v>70</v>
      </c>
      <c r="D4" s="64" t="s">
        <v>71</v>
      </c>
      <c r="E4" s="65" t="s">
        <v>72</v>
      </c>
      <c r="F4" s="64" t="s">
        <v>73</v>
      </c>
      <c r="G4" s="65" t="s">
        <v>74</v>
      </c>
      <c r="H4" s="66" t="s">
        <v>44</v>
      </c>
      <c r="I4" s="67" t="s">
        <v>25</v>
      </c>
      <c r="J4" s="67" t="s">
        <v>45</v>
      </c>
      <c r="K4" s="67" t="s">
        <v>46</v>
      </c>
      <c r="L4" s="68" t="n">
        <v>45930</v>
      </c>
    </row>
    <row r="5" customFormat="false" ht="184.5" hidden="false" customHeight="true" outlineLevel="0" collapsed="false">
      <c r="A5" s="69" t="str">
        <f aca="false">"TC_Employee_List_CRUD_Operation_" &amp; TEXT(ROW(Orange_Hrm_LoginPage!A10), "000")</f>
        <v>TC_Employee_List_CRUD_Operation_010</v>
      </c>
      <c r="B5" s="70" t="s">
        <v>69</v>
      </c>
      <c r="C5" s="70" t="s">
        <v>75</v>
      </c>
      <c r="D5" s="70" t="s">
        <v>76</v>
      </c>
      <c r="E5" s="71" t="s">
        <v>77</v>
      </c>
      <c r="F5" s="70" t="s">
        <v>78</v>
      </c>
      <c r="G5" s="70" t="s">
        <v>79</v>
      </c>
      <c r="H5" s="61" t="s">
        <v>44</v>
      </c>
      <c r="I5" s="67" t="s">
        <v>25</v>
      </c>
      <c r="J5" s="67" t="s">
        <v>45</v>
      </c>
      <c r="K5" s="67" t="s">
        <v>46</v>
      </c>
      <c r="L5" s="72" t="n">
        <v>45930</v>
      </c>
    </row>
    <row r="6" customFormat="false" ht="184.5" hidden="false" customHeight="true" outlineLevel="0" collapsed="false">
      <c r="A6" s="69" t="str">
        <f aca="false">"TC_Employee_List_CRUD_Operation_" &amp; TEXT(ROW(Orange_Hrm_LoginPage!A11), "000")</f>
        <v>TC_Employee_List_CRUD_Operation_011</v>
      </c>
      <c r="B6" s="70" t="s">
        <v>69</v>
      </c>
      <c r="C6" s="70" t="s">
        <v>80</v>
      </c>
      <c r="D6" s="70" t="s">
        <v>76</v>
      </c>
      <c r="E6" s="71" t="s">
        <v>81</v>
      </c>
      <c r="F6" s="70" t="s">
        <v>82</v>
      </c>
      <c r="G6" s="70" t="s">
        <v>83</v>
      </c>
      <c r="H6" s="61" t="s">
        <v>44</v>
      </c>
      <c r="I6" s="67" t="s">
        <v>25</v>
      </c>
      <c r="J6" s="67" t="s">
        <v>45</v>
      </c>
      <c r="K6" s="67" t="s">
        <v>46</v>
      </c>
      <c r="L6" s="72" t="n">
        <v>45930</v>
      </c>
    </row>
    <row r="7" customFormat="false" ht="184.5" hidden="false" customHeight="true" outlineLevel="0" collapsed="false">
      <c r="A7" s="69" t="str">
        <f aca="false">"TC_Employee_List_CRUD_Operation_" &amp; TEXT(ROW(A4), "000")</f>
        <v>TC_Employee_List_CRUD_Operation_004</v>
      </c>
      <c r="B7" s="70" t="s">
        <v>69</v>
      </c>
      <c r="C7" s="70" t="s">
        <v>84</v>
      </c>
      <c r="D7" s="70" t="s">
        <v>85</v>
      </c>
      <c r="E7" s="71" t="s">
        <v>86</v>
      </c>
      <c r="F7" s="70" t="s">
        <v>87</v>
      </c>
      <c r="G7" s="70" t="s">
        <v>88</v>
      </c>
      <c r="H7" s="61" t="s">
        <v>44</v>
      </c>
      <c r="I7" s="67" t="s">
        <v>25</v>
      </c>
      <c r="J7" s="67" t="s">
        <v>45</v>
      </c>
      <c r="K7" s="67" t="s">
        <v>46</v>
      </c>
      <c r="L7" s="72" t="n">
        <v>45930</v>
      </c>
    </row>
    <row r="8" customFormat="false" ht="184.5" hidden="false" customHeight="true" outlineLevel="0" collapsed="false">
      <c r="A8" s="69" t="str">
        <f aca="false">"TC_Employee_List_CRUD_Operation_" &amp; TEXT(ROW(A5), "000")</f>
        <v>TC_Employee_List_CRUD_Operation_005</v>
      </c>
      <c r="B8" s="70" t="s">
        <v>69</v>
      </c>
      <c r="C8" s="70" t="s">
        <v>89</v>
      </c>
      <c r="D8" s="70" t="s">
        <v>76</v>
      </c>
      <c r="E8" s="71" t="s">
        <v>90</v>
      </c>
      <c r="F8" s="70" t="s">
        <v>91</v>
      </c>
      <c r="G8" s="70" t="s">
        <v>92</v>
      </c>
      <c r="H8" s="73" t="s">
        <v>44</v>
      </c>
      <c r="I8" s="61" t="s">
        <v>25</v>
      </c>
      <c r="J8" s="61" t="s">
        <v>45</v>
      </c>
      <c r="K8" s="74" t="s">
        <v>46</v>
      </c>
      <c r="L8" s="72" t="n">
        <v>45930</v>
      </c>
    </row>
  </sheetData>
  <conditionalFormatting sqref="K3:K8">
    <cfRule type="containsText" priority="2" operator="containsText" aboveAverage="0" equalAverage="0" bottom="0" percent="0" rank="0" text="NOT TESTED" dxfId="4">
      <formula>NOT(ISERROR(SEARCH("NOT TESTED",K3)))</formula>
    </cfRule>
    <cfRule type="containsText" priority="3" operator="containsText" aboveAverage="0" equalAverage="0" bottom="0" percent="0" rank="0" text="BLOCKED" dxfId="5">
      <formula>NOT(ISERROR(SEARCH("BLOCKED",K3)))</formula>
    </cfRule>
    <cfRule type="containsText" priority="4" operator="containsText" aboveAverage="0" equalAverage="0" bottom="0" percent="0" rank="0" text="FAIL" dxfId="6">
      <formula>NOT(ISERROR(SEARCH("FAIL",K3)))</formula>
    </cfRule>
    <cfRule type="containsText" priority="5" operator="containsText" aboveAverage="0" equalAverage="0" bottom="0" percent="0" rank="0" text="PASS" dxfId="7">
      <formula>NOT(ISERROR(SEARCH("PASS",K3)))</formula>
    </cfRule>
  </conditionalFormatting>
  <dataValidations count="3">
    <dataValidation allowBlank="true" errorStyle="stop" operator="between" showDropDown="false" showErrorMessage="true" showInputMessage="true" sqref="I2:I8" type="list">
      <formula1>"P1,P2,P3,P4,P5"</formula1>
      <formula2>0</formula2>
    </dataValidation>
    <dataValidation allowBlank="true" errorStyle="stop" operator="between" showDropDown="false" showErrorMessage="true" showInputMessage="true" sqref="J2:J8" type="list">
      <formula1>"BLOCKER,CRITICAL,MAJOR,MEDIUM,LOW"</formula1>
      <formula2>0</formula2>
    </dataValidation>
    <dataValidation allowBlank="true" errorStyle="stop" operator="between" showDropDown="false" showErrorMessage="true" showInputMessage="true" sqref="K2:K8" type="list">
      <formula1>"PASS,FAIL,Blocked,Not 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C10" activeCellId="0" sqref="C10"/>
    </sheetView>
  </sheetViews>
  <sheetFormatPr defaultColWidth="8.59765625" defaultRowHeight="80.25" zeroHeight="false" outlineLevelRow="0" outlineLevelCol="0"/>
  <cols>
    <col collapsed="false" customWidth="true" hidden="false" outlineLevel="0" max="1" min="1" style="0" width="18"/>
    <col collapsed="false" customWidth="true" hidden="false" outlineLevel="0" max="2" min="2" style="0" width="43.86"/>
    <col collapsed="false" customWidth="true" hidden="false" outlineLevel="0" max="3" min="3" style="0" width="100.72"/>
    <col collapsed="false" customWidth="true" hidden="false" outlineLevel="0" max="4" min="4" style="0" width="90.29"/>
    <col collapsed="false" customWidth="true" hidden="false" outlineLevel="0" max="5" min="5" style="0" width="31.43"/>
  </cols>
  <sheetData>
    <row r="1" customFormat="false" ht="80.25" hidden="false" customHeight="true" outlineLevel="0" collapsed="false">
      <c r="A1" s="75" t="s">
        <v>93</v>
      </c>
      <c r="B1" s="75" t="s">
        <v>94</v>
      </c>
      <c r="C1" s="75" t="s">
        <v>95</v>
      </c>
      <c r="D1" s="75" t="s">
        <v>96</v>
      </c>
      <c r="E1" s="75" t="s">
        <v>20</v>
      </c>
    </row>
    <row r="2" customFormat="false" ht="80.25" hidden="false" customHeight="true" outlineLevel="0" collapsed="false">
      <c r="A2" s="76" t="s">
        <v>97</v>
      </c>
      <c r="B2" s="76" t="s">
        <v>98</v>
      </c>
      <c r="C2" s="76" t="s">
        <v>99</v>
      </c>
      <c r="D2" s="76" t="s">
        <v>100</v>
      </c>
      <c r="E2" s="76" t="s">
        <v>101</v>
      </c>
    </row>
    <row r="3" customFormat="false" ht="80.25" hidden="false" customHeight="true" outlineLevel="0" collapsed="false">
      <c r="A3" s="76" t="s">
        <v>102</v>
      </c>
      <c r="B3" s="76" t="s">
        <v>103</v>
      </c>
      <c r="C3" s="76" t="s">
        <v>104</v>
      </c>
      <c r="D3" s="76" t="s">
        <v>105</v>
      </c>
      <c r="E3" s="76" t="s">
        <v>106</v>
      </c>
    </row>
    <row r="4" customFormat="false" ht="80.25" hidden="false" customHeight="true" outlineLevel="0" collapsed="false">
      <c r="A4" s="76" t="s">
        <v>107</v>
      </c>
      <c r="B4" s="76" t="s">
        <v>108</v>
      </c>
      <c r="C4" s="76" t="s">
        <v>109</v>
      </c>
      <c r="D4" s="76" t="s">
        <v>110</v>
      </c>
      <c r="E4" s="76" t="s">
        <v>101</v>
      </c>
    </row>
    <row r="5" customFormat="false" ht="80.25" hidden="false" customHeight="true" outlineLevel="0" collapsed="false">
      <c r="A5" s="76" t="s">
        <v>111</v>
      </c>
      <c r="B5" s="76" t="s">
        <v>112</v>
      </c>
      <c r="C5" s="76" t="s">
        <v>113</v>
      </c>
      <c r="D5" s="76" t="s">
        <v>114</v>
      </c>
      <c r="E5" s="76" t="s">
        <v>106</v>
      </c>
    </row>
    <row r="6" customFormat="false" ht="80.25" hidden="false" customHeight="true" outlineLevel="0" collapsed="false">
      <c r="A6" s="76" t="s">
        <v>115</v>
      </c>
      <c r="B6" s="76" t="s">
        <v>116</v>
      </c>
      <c r="C6" s="76" t="s">
        <v>117</v>
      </c>
      <c r="D6" s="76" t="s">
        <v>118</v>
      </c>
      <c r="E6" s="76" t="s">
        <v>101</v>
      </c>
    </row>
    <row r="7" customFormat="false" ht="80.25" hidden="false" customHeight="true" outlineLevel="0" collapsed="false">
      <c r="A7" s="76" t="s">
        <v>119</v>
      </c>
      <c r="B7" s="76" t="s">
        <v>120</v>
      </c>
      <c r="C7" s="76" t="s">
        <v>121</v>
      </c>
      <c r="D7" s="76" t="s">
        <v>122</v>
      </c>
      <c r="E7" s="76" t="s">
        <v>123</v>
      </c>
    </row>
    <row r="8" customFormat="false" ht="80.25" hidden="false" customHeight="true" outlineLevel="0" collapsed="false">
      <c r="A8" s="76" t="s">
        <v>124</v>
      </c>
      <c r="B8" s="76" t="s">
        <v>125</v>
      </c>
      <c r="C8" s="76" t="s">
        <v>126</v>
      </c>
      <c r="D8" s="76" t="s">
        <v>127</v>
      </c>
      <c r="E8" s="76" t="s">
        <v>123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2025-06-05T04:24:04Z</dcterms:created>
  <dc:creator/>
  <dc:description/>
  <dc:language>en-IN</dc:language>
  <cp:lastModifiedBy/>
  <dcterms:modified xsi:type="dcterms:W3CDTF">2025-09-30T13:22:41Z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